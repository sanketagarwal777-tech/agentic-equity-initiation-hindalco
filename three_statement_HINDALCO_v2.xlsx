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IS" sheetId="2" r:id="rId2"/>
    <sheet name="BS" sheetId="3" r:id="rId3"/>
    <sheet name="CF" sheetId="4" r:id="rId4"/>
    <sheet name="DCF" sheetId="5" r:id="rId5"/>
    <sheet name="Comps" sheetId="6" r:id="rId6"/>
    <sheet name="Scenarios" sheetId="7" r:id="rId7"/>
  </sheets>
  <calcPr calcId="124519" fullCalcOnLoad="1"/>
</workbook>
</file>

<file path=xl/sharedStrings.xml><?xml version="1.0" encoding="utf-8"?>
<sst xmlns="http://schemas.openxmlformats.org/spreadsheetml/2006/main" count="123" uniqueCount="103">
  <si>
    <t>Item</t>
  </si>
  <si>
    <t>Mar 2021</t>
  </si>
  <si>
    <t>Mar 2022</t>
  </si>
  <si>
    <t>Mar 2023</t>
  </si>
  <si>
    <t>Mar 2024</t>
  </si>
  <si>
    <t>Mar 2025</t>
  </si>
  <si>
    <t>Revenue Growth %</t>
  </si>
  <si>
    <t>EBITDA Margin %</t>
  </si>
  <si>
    <t>Effective Tax Rate %</t>
  </si>
  <si>
    <t>Capex as % of Sales</t>
  </si>
  <si>
    <t>Working Capital Days</t>
  </si>
  <si>
    <t>WACC Assumptions</t>
  </si>
  <si>
    <t>Risk Free Rate</t>
  </si>
  <si>
    <t>Beta</t>
  </si>
  <si>
    <t>Market Premium</t>
  </si>
  <si>
    <t>Cost of Debt (Pre-tax)</t>
  </si>
  <si>
    <t>Tax Rate</t>
  </si>
  <si>
    <t>Target Debt/Equity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</si>
  <si>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</si>
  <si>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</si>
  <si>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</si>
  <si>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</si>
  <si>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</si>
  <si>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</si>
  <si>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</si>
  <si>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</si>
  <si>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</si>
  <si>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</si>
  <si>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</si>
  <si>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Dividend Payout %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</si>
  <si>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</si>
  <si>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</si>
  <si>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</si>
  <si>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</si>
  <si>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</si>
  <si>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</si>
  <si>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</si>
  <si>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</si>
  <si>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</si>
  <si>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</si>
  <si>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Cash from Operating Activity +</t>
  </si>
  <si>
    <t>Cash from Investing Activity +</t>
  </si>
  <si>
    <t>Cash from Financing Activity +</t>
  </si>
  <si>
    <t>Net Cash Flow</t>
  </si>
  <si>
    <t>DCF Model</t>
  </si>
  <si>
    <t>FY26E</t>
  </si>
  <si>
    <t>FY27E</t>
  </si>
  <si>
    <t>FY28E</t>
  </si>
  <si>
    <t>FY29E</t>
  </si>
  <si>
    <t>FY30E</t>
  </si>
  <si>
    <t>Revenue</t>
  </si>
  <si>
    <t>EBITDA</t>
  </si>
  <si>
    <t>D&amp;A</t>
  </si>
  <si>
    <t>EBIT</t>
  </si>
  <si>
    <t>Tax</t>
  </si>
  <si>
    <t>NOPAT</t>
  </si>
  <si>
    <t>Capex</t>
  </si>
  <si>
    <t>Change in WC</t>
  </si>
  <si>
    <t>FCFF</t>
  </si>
  <si>
    <t>WACC Calculation</t>
  </si>
  <si>
    <t>Cost of Equity (Ke)</t>
  </si>
  <si>
    <t>Cost of Debt (Kd, After-tax)</t>
  </si>
  <si>
    <t>WACC</t>
  </si>
  <si>
    <t>Discount Factor</t>
  </si>
  <si>
    <t>Present Value of FCFF</t>
  </si>
  <si>
    <t>Terminal Value Assumptions</t>
  </si>
  <si>
    <t>Terminal Growth Rate</t>
  </si>
  <si>
    <t>Implied TV (Gordon Growth)</t>
  </si>
  <si>
    <t>PV of Terminal Value</t>
  </si>
  <si>
    <t>Enterprise Value</t>
  </si>
  <si>
    <t>Less: Net Debt</t>
  </si>
  <si>
    <t>Equity Value</t>
  </si>
  <si>
    <t>Shares Outstanding (Cr)</t>
  </si>
  <si>
    <t>Implied Share Price</t>
  </si>
  <si>
    <t>Company</t>
  </si>
  <si>
    <t>Ticker</t>
  </si>
  <si>
    <t>Price (INR)</t>
  </si>
  <si>
    <t>Market Cap (Cr)</t>
  </si>
  <si>
    <t>EV (Cr)</t>
  </si>
  <si>
    <t>Revenue (Cr)</t>
  </si>
  <si>
    <t>EBITDA (Cr)</t>
  </si>
  <si>
    <t>P/E</t>
  </si>
  <si>
    <t>EV/EBITDA</t>
  </si>
  <si>
    <t>P/B</t>
  </si>
  <si>
    <t>Hindalco</t>
  </si>
  <si>
    <t>HINDALCO</t>
  </si>
  <si>
    <t>Vedanta</t>
  </si>
  <si>
    <t>VEDL</t>
  </si>
  <si>
    <t>Tata Steel</t>
  </si>
  <si>
    <t>TATASTEEL</t>
  </si>
  <si>
    <t>NALCO</t>
  </si>
  <si>
    <t>NATIONALUM</t>
  </si>
  <si>
    <t>JSW Steel</t>
  </si>
  <si>
    <t>JSWSTEEL</t>
  </si>
  <si>
    <t>SAIL</t>
  </si>
  <si>
    <t>Scenario Analysis</t>
  </si>
  <si>
    <t>Metric</t>
  </si>
  <si>
    <t>Bear</t>
  </si>
  <si>
    <t>Base</t>
  </si>
  <si>
    <t>Bull</t>
  </si>
  <si>
    <t>Revenue Growth</t>
  </si>
  <si>
    <t>EBITDA Margin</t>
  </si>
  <si>
    <t>Instructions: Copy these values to Inputs sheet to test scenarios.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</si>
</sst>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.00"/>
    <numFmt numFmtId="166" formatCode="₹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>
      <c r="A2" t="s">
        <v>6</v>
      </c>
      <c r="B2">
        <v>0</v>
      </c>
      <c r="C2">
        <v>0</v>
      </c>
      <c r="D2">
        <v>0</v>
      </c>
      <c r="E2">
        <v>0</v>
      </c>
      <c r="F2" s="2">
        <v>0.08</v>
      </c>
      <c r="G2" s="2">
        <v>0.08</v>
      </c>
      <c r="H2" s="2">
        <v>0.08</v>
      </c>
      <c r="I2" s="2">
        <v>0.08</v>
      </c>
      <c r="J2" s="2">
        <v>0.08</v>
      </c>
    </row>
    <row r="3" spans="1:10">
      <c r="A3" t="s">
        <v>7</v>
      </c>
      <c r="B3">
        <v>0</v>
      </c>
      <c r="C3">
        <v>0</v>
      </c>
      <c r="D3">
        <v>0</v>
      </c>
      <c r="E3">
        <v>0</v>
      </c>
      <c r="F3" s="2">
        <v>0.14</v>
      </c>
      <c r="G3" s="2">
        <v>0.14</v>
      </c>
      <c r="H3" s="2">
        <v>0.14</v>
      </c>
      <c r="I3" s="2">
        <v>0.14</v>
      </c>
      <c r="J3" s="2">
        <v>0.14</v>
      </c>
    </row>
    <row r="4" spans="1:10">
      <c r="A4" t="s">
        <v>8</v>
      </c>
      <c r="B4">
        <v>0</v>
      </c>
      <c r="C4">
        <v>0</v>
      </c>
      <c r="D4">
        <v>0</v>
      </c>
      <c r="E4">
        <v>0</v>
      </c>
      <c r="F4" s="2">
        <v>0.25</v>
      </c>
      <c r="G4" s="2">
        <v>0.25</v>
      </c>
      <c r="H4" s="2">
        <v>0.25</v>
      </c>
      <c r="I4" s="2">
        <v>0.25</v>
      </c>
      <c r="J4" s="2">
        <v>0.25</v>
      </c>
    </row>
    <row r="5" spans="1:10">
      <c r="A5" t="s">
        <v>9</v>
      </c>
      <c r="B5">
        <v>0</v>
      </c>
      <c r="C5">
        <v>0</v>
      </c>
      <c r="D5">
        <v>0</v>
      </c>
      <c r="E5">
        <v>0</v>
      </c>
      <c r="F5" s="2">
        <v>0.05</v>
      </c>
      <c r="G5" s="2">
        <v>0.05</v>
      </c>
      <c r="H5" s="2">
        <v>0.05</v>
      </c>
      <c r="I5" s="2">
        <v>0.05</v>
      </c>
      <c r="J5" s="2">
        <v>0.05</v>
      </c>
    </row>
    <row r="6" spans="1:10">
      <c r="A6" t="s">
        <v>10</v>
      </c>
      <c r="B6">
        <v>0</v>
      </c>
      <c r="C6">
        <v>0</v>
      </c>
      <c r="D6">
        <v>0</v>
      </c>
      <c r="E6">
        <v>0</v>
      </c>
      <c r="F6" s="3">
        <v>45</v>
      </c>
      <c r="G6" s="3">
        <v>45</v>
      </c>
      <c r="H6" s="3">
        <v>45</v>
      </c>
      <c r="I6" s="3">
        <v>45</v>
      </c>
      <c r="J6" s="3">
        <v>45</v>
      </c>
    </row>
    <row r="9" spans="1:10">
      <c r="A9" s="4" t="s">
        <v>11</v>
      </c>
    </row>
    <row r="10" spans="1:10">
      <c r="A10" t="s">
        <v>12</v>
      </c>
      <c r="B10" s="2">
        <v>0.067</v>
      </c>
    </row>
    <row r="11" spans="1:10">
      <c r="A11" t="s">
        <v>13</v>
      </c>
      <c r="B11" s="3">
        <v>1.2</v>
      </c>
    </row>
    <row r="12" spans="1:10">
      <c r="A12" t="s">
        <v>14</v>
      </c>
      <c r="B12" s="2">
        <v>0.05</v>
      </c>
    </row>
    <row r="13" spans="1:10">
      <c r="A13" t="s">
        <v>15</v>
      </c>
      <c r="B13" s="2">
        <v>0.075</v>
      </c>
    </row>
    <row r="14" spans="1:10">
      <c r="A14" t="s">
        <v>16</v>
      </c>
      <c r="B14" s="2">
        <v>0.25</v>
      </c>
    </row>
    <row r="15" spans="1:10">
      <c r="A15" t="s">
        <v>17</v>
      </c>
      <c r="B15" s="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</v>
      </c>
      <c r="B2" s="5">
        <v>132008</v>
      </c>
      <c r="C2" s="5">
        <v>195059</v>
      </c>
      <c r="D2" s="5">
        <v>223202</v>
      </c>
      <c r="E2" s="5">
        <v>215962</v>
      </c>
      <c r="F2" s="5">
        <v>238496</v>
      </c>
    </row>
    <row r="3" spans="1:6">
      <c r="A3" t="s">
        <v>19</v>
      </c>
      <c r="B3" s="5">
        <v>114449</v>
      </c>
      <c r="C3" s="5">
        <v>166712</v>
      </c>
      <c r="D3" s="5">
        <v>200536</v>
      </c>
      <c r="E3" s="5">
        <v>192090</v>
      </c>
      <c r="F3" s="5">
        <v>206691</v>
      </c>
    </row>
    <row r="4" spans="1:6">
      <c r="A4" t="s">
        <v>20</v>
      </c>
      <c r="B4" s="5">
        <v>17559</v>
      </c>
      <c r="C4" s="5">
        <v>28347</v>
      </c>
      <c r="D4" s="5">
        <v>22666</v>
      </c>
      <c r="E4" s="5">
        <v>23872</v>
      </c>
      <c r="F4" s="5">
        <v>31805</v>
      </c>
    </row>
    <row r="5" spans="1:6">
      <c r="A5" t="s">
        <v>21</v>
      </c>
      <c r="B5" s="5">
        <v>0</v>
      </c>
      <c r="C5" s="5">
        <v>0</v>
      </c>
      <c r="D5" s="5">
        <v>0</v>
      </c>
      <c r="E5" s="5">
        <v>0</v>
      </c>
      <c r="F5" s="5">
        <v>0</v>
      </c>
    </row>
    <row r="6" spans="1:6">
      <c r="A6" t="s">
        <v>22</v>
      </c>
      <c r="B6" s="5">
        <v>-987</v>
      </c>
      <c r="C6" s="5">
        <v>1253</v>
      </c>
      <c r="D6" s="5">
        <v>1307</v>
      </c>
      <c r="E6" s="5">
        <v>1519</v>
      </c>
      <c r="F6" s="5">
        <v>1832</v>
      </c>
    </row>
    <row r="7" spans="1:6">
      <c r="A7" t="s">
        <v>23</v>
      </c>
      <c r="B7" s="5">
        <v>3738</v>
      </c>
      <c r="C7" s="5">
        <v>3768</v>
      </c>
      <c r="D7" s="5">
        <v>3646</v>
      </c>
      <c r="E7" s="5">
        <v>3858</v>
      </c>
      <c r="F7" s="5">
        <v>3419</v>
      </c>
    </row>
    <row r="8" spans="1:6">
      <c r="A8" t="s">
        <v>24</v>
      </c>
      <c r="B8" s="5">
        <v>6628</v>
      </c>
      <c r="C8" s="5">
        <v>6729</v>
      </c>
      <c r="D8" s="5">
        <v>7086</v>
      </c>
      <c r="E8" s="5">
        <v>7521</v>
      </c>
      <c r="F8" s="5">
        <v>7881</v>
      </c>
    </row>
    <row r="9" spans="1:6">
      <c r="A9" t="s">
        <v>25</v>
      </c>
      <c r="B9" s="5">
        <v>6206</v>
      </c>
      <c r="C9" s="5">
        <v>19103</v>
      </c>
      <c r="D9" s="5">
        <v>13241</v>
      </c>
      <c r="E9" s="5">
        <v>14012</v>
      </c>
      <c r="F9" s="5">
        <v>22337</v>
      </c>
    </row>
    <row r="10" spans="1:6">
      <c r="A10" t="s">
        <v>26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</row>
    <row r="11" spans="1:6">
      <c r="A11" t="s">
        <v>27</v>
      </c>
      <c r="B11" s="5">
        <v>3483</v>
      </c>
      <c r="C11" s="5">
        <v>13730</v>
      </c>
      <c r="D11" s="5">
        <v>10097</v>
      </c>
      <c r="E11" s="5">
        <v>10155</v>
      </c>
      <c r="F11" s="5">
        <v>16002</v>
      </c>
    </row>
    <row r="12" spans="1:6">
      <c r="A12" t="s">
        <v>28</v>
      </c>
      <c r="B12" s="5">
        <v>15.5</v>
      </c>
      <c r="C12" s="5">
        <v>61.1</v>
      </c>
      <c r="D12" s="5">
        <v>44.93</v>
      </c>
      <c r="E12" s="5">
        <v>45.19</v>
      </c>
      <c r="F12" s="5">
        <v>71.2</v>
      </c>
    </row>
    <row r="13" spans="1:6">
      <c r="A13" t="s">
        <v>29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</v>
      </c>
      <c r="B2" s="5">
        <v>222</v>
      </c>
      <c r="C2" s="5">
        <v>222</v>
      </c>
      <c r="D2" s="5">
        <v>222</v>
      </c>
      <c r="E2" s="5">
        <v>222</v>
      </c>
      <c r="F2" s="5">
        <v>222</v>
      </c>
    </row>
    <row r="3" spans="1:6">
      <c r="A3" t="s">
        <v>31</v>
      </c>
      <c r="B3" s="5">
        <v>66311</v>
      </c>
      <c r="C3" s="5">
        <v>77969</v>
      </c>
      <c r="D3" s="5">
        <v>94584</v>
      </c>
      <c r="E3" s="5">
        <v>105924</v>
      </c>
      <c r="F3" s="5">
        <v>123487</v>
      </c>
    </row>
    <row r="4" spans="1:6">
      <c r="A4" t="s">
        <v>32</v>
      </c>
      <c r="B4" s="5">
        <v>67206</v>
      </c>
      <c r="C4" s="5">
        <v>64486</v>
      </c>
      <c r="D4" s="5">
        <v>60291</v>
      </c>
      <c r="E4" s="5">
        <v>56356</v>
      </c>
      <c r="F4" s="5">
        <v>63929</v>
      </c>
    </row>
    <row r="5" spans="1:6">
      <c r="A5" t="s">
        <v>33</v>
      </c>
      <c r="B5" s="5">
        <v>55083</v>
      </c>
      <c r="C5" s="5">
        <v>79178</v>
      </c>
      <c r="D5" s="5">
        <v>68392</v>
      </c>
      <c r="E5" s="5">
        <v>68221</v>
      </c>
      <c r="F5" s="5">
        <v>76662</v>
      </c>
    </row>
    <row r="6" spans="1:6">
      <c r="A6" t="s">
        <v>34</v>
      </c>
      <c r="B6" s="5">
        <v>188822</v>
      </c>
      <c r="C6" s="5">
        <v>221855</v>
      </c>
      <c r="D6" s="5">
        <v>223489</v>
      </c>
      <c r="E6" s="5">
        <v>230723</v>
      </c>
      <c r="F6" s="5">
        <v>264300</v>
      </c>
    </row>
    <row r="7" spans="1:6">
      <c r="A7" t="s">
        <v>35</v>
      </c>
      <c r="B7" s="5">
        <v>100269</v>
      </c>
      <c r="C7" s="5">
        <v>106874</v>
      </c>
      <c r="D7" s="5">
        <v>110626</v>
      </c>
      <c r="E7" s="5">
        <v>111810</v>
      </c>
      <c r="F7" s="5">
        <v>116556</v>
      </c>
    </row>
    <row r="8" spans="1:6">
      <c r="A8" t="s">
        <v>36</v>
      </c>
      <c r="B8" s="5">
        <v>10202</v>
      </c>
      <c r="C8" s="5">
        <v>4945</v>
      </c>
      <c r="D8" s="5">
        <v>7700</v>
      </c>
      <c r="E8" s="5">
        <v>14867</v>
      </c>
      <c r="F8" s="5">
        <v>27397</v>
      </c>
    </row>
    <row r="9" spans="1:6">
      <c r="A9" t="s">
        <v>37</v>
      </c>
      <c r="B9" s="5">
        <v>17133</v>
      </c>
      <c r="C9" s="5">
        <v>14119</v>
      </c>
      <c r="D9" s="5">
        <v>14116</v>
      </c>
      <c r="E9" s="5">
        <v>15444</v>
      </c>
      <c r="F9" s="5">
        <v>24158</v>
      </c>
    </row>
    <row r="10" spans="1:6">
      <c r="A10" t="s">
        <v>38</v>
      </c>
      <c r="B10" s="5">
        <v>61218</v>
      </c>
      <c r="C10" s="5">
        <v>95917</v>
      </c>
      <c r="D10" s="5">
        <v>91047</v>
      </c>
      <c r="E10" s="5">
        <v>88602</v>
      </c>
      <c r="F10" s="5">
        <v>96189</v>
      </c>
    </row>
    <row r="11" spans="1:6">
      <c r="A11" t="s">
        <v>39</v>
      </c>
      <c r="B11" s="5">
        <v>188822</v>
      </c>
      <c r="C11" s="5">
        <v>221855</v>
      </c>
      <c r="D11" s="5">
        <v>223489</v>
      </c>
      <c r="E11" s="5">
        <v>230723</v>
      </c>
      <c r="F11" s="5">
        <v>264300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s="5">
        <v>17232</v>
      </c>
      <c r="C2" s="5">
        <v>16838</v>
      </c>
      <c r="D2" s="5">
        <v>19208</v>
      </c>
      <c r="E2" s="5">
        <v>24056</v>
      </c>
      <c r="F2" s="5">
        <v>24410</v>
      </c>
    </row>
    <row r="3" spans="1:6">
      <c r="A3" t="s">
        <v>41</v>
      </c>
      <c r="B3" s="5">
        <v>-25280</v>
      </c>
      <c r="C3" s="5">
        <v>-6773</v>
      </c>
      <c r="D3" s="5">
        <v>-7559</v>
      </c>
      <c r="E3" s="5">
        <v>-14267</v>
      </c>
      <c r="F3" s="5">
        <v>-24609</v>
      </c>
    </row>
    <row r="4" spans="1:6">
      <c r="A4" t="s">
        <v>42</v>
      </c>
      <c r="B4" s="5">
        <v>-4882</v>
      </c>
      <c r="C4" s="5">
        <v>-6765</v>
      </c>
      <c r="D4" s="5">
        <v>-10450</v>
      </c>
      <c r="E4" s="5">
        <v>-10817</v>
      </c>
      <c r="F4" s="5">
        <v>-1816</v>
      </c>
    </row>
    <row r="5" spans="1:6">
      <c r="A5" t="s">
        <v>43</v>
      </c>
      <c r="B5" s="5">
        <v>-12930</v>
      </c>
      <c r="C5" s="5">
        <v>3300</v>
      </c>
      <c r="D5" s="5">
        <v>1199</v>
      </c>
      <c r="E5" s="5">
        <v>-1028</v>
      </c>
      <c r="F5" s="5">
        <v>-2015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4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50</v>
      </c>
      <c r="B2" s="5">
        <f>IS!F3*(1+Inputs!F2)</f>
        <v>0</v>
      </c>
      <c r="C2" s="5">
        <f>B2*(1+Inputs!G2)</f>
        <v>0</v>
      </c>
      <c r="D2" s="5">
        <f>C2*(1+Inputs!H2)</f>
        <v>0</v>
      </c>
      <c r="E2" s="5">
        <f>D2*(1+Inputs!I2)</f>
        <v>0</v>
      </c>
      <c r="F2" s="5">
        <f>E2*(1+Inputs!J2)</f>
        <v>0</v>
      </c>
    </row>
    <row r="3" spans="1:6">
      <c r="A3" t="s">
        <v>51</v>
      </c>
      <c r="B3" s="5">
        <f>B2*Inputs!B3</f>
        <v>0</v>
      </c>
      <c r="C3" s="5">
        <f>C2*Inputs!C3</f>
        <v>0</v>
      </c>
      <c r="D3" s="5">
        <f>D2*Inputs!D3</f>
        <v>0</v>
      </c>
      <c r="E3" s="5">
        <f>E2*Inputs!E3</f>
        <v>0</v>
      </c>
      <c r="F3" s="5">
        <f>F2*Inputs!F3</f>
        <v>0</v>
      </c>
    </row>
    <row r="4" spans="1:6">
      <c r="A4" t="s">
        <v>52</v>
      </c>
      <c r="B4" s="5">
        <f>B2*0.03</f>
        <v>0</v>
      </c>
      <c r="C4" s="5">
        <f>C2*0.03</f>
        <v>0</v>
      </c>
      <c r="D4" s="5">
        <f>D2*0.03</f>
        <v>0</v>
      </c>
      <c r="E4" s="5">
        <f>E2*0.03</f>
        <v>0</v>
      </c>
      <c r="F4" s="5">
        <f>F2*0.03</f>
        <v>0</v>
      </c>
    </row>
    <row r="5" spans="1:6">
      <c r="A5" t="s">
        <v>53</v>
      </c>
      <c r="B5" s="5">
        <f>B3-B4</f>
        <v>0</v>
      </c>
      <c r="C5" s="5">
        <f>C3-C4</f>
        <v>0</v>
      </c>
      <c r="D5" s="5">
        <f>D3-D4</f>
        <v>0</v>
      </c>
      <c r="E5" s="5">
        <f>E3-E4</f>
        <v>0</v>
      </c>
      <c r="F5" s="5">
        <f>F3-F4</f>
        <v>0</v>
      </c>
    </row>
    <row r="6" spans="1:6">
      <c r="A6" t="s">
        <v>54</v>
      </c>
      <c r="B6" s="5">
        <f>B5*Inputs!B14</f>
        <v>0</v>
      </c>
      <c r="C6" s="5">
        <f>C5*Inputs!B14</f>
        <v>0</v>
      </c>
      <c r="D6" s="5">
        <f>D5*Inputs!B14</f>
        <v>0</v>
      </c>
      <c r="E6" s="5">
        <f>E5*Inputs!B14</f>
        <v>0</v>
      </c>
      <c r="F6" s="5">
        <f>F5*Inputs!B14</f>
        <v>0</v>
      </c>
    </row>
    <row r="7" spans="1:6">
      <c r="A7" t="s">
        <v>55</v>
      </c>
      <c r="B7" s="5">
        <f>B5-B6</f>
        <v>0</v>
      </c>
      <c r="C7" s="5">
        <f>C5-C6</f>
        <v>0</v>
      </c>
      <c r="D7" s="5">
        <f>D5-D6</f>
        <v>0</v>
      </c>
      <c r="E7" s="5">
        <f>E5-E6</f>
        <v>0</v>
      </c>
      <c r="F7" s="5">
        <f>F5-F6</f>
        <v>0</v>
      </c>
    </row>
    <row r="8" spans="1:6">
      <c r="A8" t="s">
        <v>56</v>
      </c>
      <c r="B8" s="5">
        <f>B2*Inputs!B5</f>
        <v>0</v>
      </c>
      <c r="C8" s="5">
        <f>C2*Inputs!C5</f>
        <v>0</v>
      </c>
      <c r="D8" s="5">
        <f>D2*Inputs!D5</f>
        <v>0</v>
      </c>
      <c r="E8" s="5">
        <f>E2*Inputs!E5</f>
        <v>0</v>
      </c>
      <c r="F8" s="5">
        <f>F2*Inputs!F5</f>
        <v>0</v>
      </c>
    </row>
    <row r="9" spans="1:6">
      <c r="A9" t="s">
        <v>57</v>
      </c>
      <c r="B9" s="5">
        <f>B2*0.02</f>
        <v>0</v>
      </c>
      <c r="C9" s="5">
        <f>C2*0.02</f>
        <v>0</v>
      </c>
      <c r="D9" s="5">
        <f>D2*0.02</f>
        <v>0</v>
      </c>
      <c r="E9" s="5">
        <f>E2*0.02</f>
        <v>0</v>
      </c>
      <c r="F9" s="5">
        <f>F2*0.02</f>
        <v>0</v>
      </c>
    </row>
    <row r="10" spans="1:6">
      <c r="A10" s="4" t="s">
        <v>58</v>
      </c>
      <c r="B10" s="5">
        <f>B7+B4-B8-B9</f>
        <v>0</v>
      </c>
      <c r="C10" s="5">
        <f>C7+C4-C8-C9</f>
        <v>0</v>
      </c>
      <c r="D10" s="5">
        <f>D7+D4-D8-D9</f>
        <v>0</v>
      </c>
      <c r="E10" s="5">
        <f>E7+E4-E8-E9</f>
        <v>0</v>
      </c>
      <c r="F10" s="5">
        <f>F7+F4-F8-F9</f>
        <v>0</v>
      </c>
    </row>
    <row r="12" spans="1:6">
      <c r="A12" s="4" t="s">
        <v>59</v>
      </c>
    </row>
    <row r="13" spans="1:6">
      <c r="A13" t="s">
        <v>60</v>
      </c>
      <c r="B13" s="2">
        <f>Inputs!B10 + Inputs!B11*Inputs!B12</f>
        <v>0</v>
      </c>
    </row>
    <row r="14" spans="1:6">
      <c r="A14" t="s">
        <v>61</v>
      </c>
      <c r="B14" s="2">
        <f>Inputs!B13*(1-Inputs!B14)</f>
        <v>0</v>
      </c>
    </row>
    <row r="15" spans="1:6">
      <c r="A15" t="s">
        <v>62</v>
      </c>
      <c r="B15" s="2">
        <f>B13*0.6 + B14*0.4</f>
        <v>0</v>
      </c>
    </row>
    <row r="17" spans="1:6">
      <c r="A17" t="s">
        <v>63</v>
      </c>
      <c r="B17" s="3">
        <f>1/(1+$B$15)^1</f>
        <v>0</v>
      </c>
      <c r="C17" s="3">
        <f>1/(1+$B$15)^2</f>
        <v>0</v>
      </c>
      <c r="D17" s="3">
        <f>1/(1+$B$15)^3</f>
        <v>0</v>
      </c>
      <c r="E17" s="3">
        <f>1/(1+$B$15)^4</f>
        <v>0</v>
      </c>
      <c r="F17" s="3">
        <f>1/(1+$B$15)^5</f>
        <v>0</v>
      </c>
    </row>
    <row r="18" spans="1:6">
      <c r="A18" t="s">
        <v>64</v>
      </c>
      <c r="B18" s="5">
        <f>B10*B17</f>
        <v>0</v>
      </c>
      <c r="C18" s="5">
        <f>C10*C17</f>
        <v>0</v>
      </c>
      <c r="D18" s="5">
        <f>D10*D17</f>
        <v>0</v>
      </c>
      <c r="E18" s="5">
        <f>E10*E17</f>
        <v>0</v>
      </c>
      <c r="F18" s="5">
        <f>F10*F17</f>
        <v>0</v>
      </c>
    </row>
    <row r="20" spans="1:6">
      <c r="A20" s="4" t="s">
        <v>65</v>
      </c>
    </row>
    <row r="21" spans="1:6">
      <c r="A21" t="s">
        <v>66</v>
      </c>
      <c r="B21" s="2">
        <v>0.03</v>
      </c>
    </row>
    <row r="22" spans="1:6">
      <c r="A22" t="s">
        <v>67</v>
      </c>
      <c r="B22" s="5">
        <f>F10*(1+B21)/(B15-B21)</f>
        <v>0</v>
      </c>
    </row>
    <row r="23" spans="1:6">
      <c r="A23" t="s">
        <v>68</v>
      </c>
      <c r="B23" s="5">
        <f>B22*F17</f>
        <v>0</v>
      </c>
    </row>
    <row r="25" spans="1:6">
      <c r="A25" s="4" t="s">
        <v>69</v>
      </c>
      <c r="B25" s="5">
        <f>SUM(B18:F18)+B23</f>
        <v>0</v>
      </c>
    </row>
    <row r="26" spans="1:6">
      <c r="A26" t="s">
        <v>70</v>
      </c>
      <c r="B26" s="5">
        <v>40000</v>
      </c>
    </row>
    <row r="27" spans="1:6">
      <c r="A27" s="4" t="s">
        <v>71</v>
      </c>
      <c r="B27" s="5">
        <f>B25-B26</f>
        <v>0</v>
      </c>
    </row>
    <row r="28" spans="1:6">
      <c r="A28" t="s">
        <v>72</v>
      </c>
      <c r="B28" s="3">
        <v>222</v>
      </c>
    </row>
    <row r="29" spans="1:6">
      <c r="A29" s="4" t="s">
        <v>73</v>
      </c>
      <c r="B29" s="5">
        <f>B27/B28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</row>
    <row r="2" spans="1:10">
      <c r="A2" t="s">
        <v>84</v>
      </c>
      <c r="B2" t="s">
        <v>85</v>
      </c>
      <c r="C2">
        <v>964</v>
      </c>
      <c r="D2">
        <v>217138</v>
      </c>
      <c r="E2">
        <v>280000</v>
      </c>
      <c r="F2">
        <v>238496</v>
      </c>
      <c r="G2">
        <v>26000</v>
      </c>
      <c r="H2" s="3">
        <v>12.1</v>
      </c>
      <c r="I2" s="3">
        <v>8</v>
      </c>
      <c r="J2" s="3">
        <v>2.2</v>
      </c>
    </row>
    <row r="3" spans="1:10">
      <c r="A3" t="s">
        <v>86</v>
      </c>
      <c r="B3" t="s">
        <v>87</v>
      </c>
      <c r="C3">
        <v>595</v>
      </c>
      <c r="D3">
        <v>269836</v>
      </c>
      <c r="E3">
        <v>320000</v>
      </c>
      <c r="F3">
        <v>150000</v>
      </c>
      <c r="G3">
        <v>35000</v>
      </c>
      <c r="H3" s="3">
        <v>18.6</v>
      </c>
      <c r="I3" s="3">
        <v>7.8</v>
      </c>
      <c r="J3" s="3">
        <v>2.5</v>
      </c>
    </row>
    <row r="4" spans="1:10">
      <c r="A4" t="s">
        <v>88</v>
      </c>
      <c r="B4" t="s">
        <v>89</v>
      </c>
      <c r="C4">
        <v>185</v>
      </c>
      <c r="D4">
        <v>259907</v>
      </c>
      <c r="E4">
        <v>340000</v>
      </c>
      <c r="F4">
        <v>230000</v>
      </c>
      <c r="G4">
        <v>24000</v>
      </c>
      <c r="H4" s="3">
        <v>28.3</v>
      </c>
      <c r="I4" s="3">
        <v>6.8</v>
      </c>
      <c r="J4" s="3">
        <v>2.8</v>
      </c>
    </row>
    <row r="5" spans="1:10">
      <c r="A5" t="s">
        <v>90</v>
      </c>
      <c r="B5" t="s">
        <v>91</v>
      </c>
      <c r="C5">
        <v>365</v>
      </c>
      <c r="D5">
        <v>67551</v>
      </c>
      <c r="E5">
        <v>65000</v>
      </c>
      <c r="F5">
        <v>14000</v>
      </c>
      <c r="G5">
        <v>3500</v>
      </c>
      <c r="H5" s="3">
        <v>12.9</v>
      </c>
      <c r="I5" s="3">
        <v>7.2</v>
      </c>
      <c r="J5" s="3">
        <v>2.1</v>
      </c>
    </row>
    <row r="6" spans="1:10">
      <c r="A6" t="s">
        <v>92</v>
      </c>
      <c r="B6" t="s">
        <v>93</v>
      </c>
      <c r="C6">
        <v>1250</v>
      </c>
      <c r="D6">
        <v>306024</v>
      </c>
      <c r="E6">
        <v>380000</v>
      </c>
      <c r="F6">
        <v>175000</v>
      </c>
      <c r="G6">
        <v>29000</v>
      </c>
      <c r="H6" s="3">
        <v>40.7</v>
      </c>
      <c r="I6" s="3">
        <v>14.2</v>
      </c>
      <c r="J6" s="3">
        <v>3.5</v>
      </c>
    </row>
    <row r="7" spans="1:10">
      <c r="A7" t="s">
        <v>94</v>
      </c>
      <c r="B7" t="s">
        <v>94</v>
      </c>
      <c r="C7">
        <v>161</v>
      </c>
      <c r="D7">
        <v>66831</v>
      </c>
      <c r="E7">
        <v>100000</v>
      </c>
      <c r="F7">
        <v>105000</v>
      </c>
      <c r="G7">
        <v>10000</v>
      </c>
      <c r="H7" s="3">
        <v>24</v>
      </c>
      <c r="I7" s="3">
        <v>9.1</v>
      </c>
      <c r="J7" s="3">
        <v>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4" t="s">
        <v>95</v>
      </c>
    </row>
    <row r="2" spans="1:4">
      <c r="A2" t="s">
        <v>96</v>
      </c>
      <c r="B2" s="1" t="s">
        <v>97</v>
      </c>
      <c r="C2" s="1" t="s">
        <v>98</v>
      </c>
      <c r="D2" s="1" t="s">
        <v>99</v>
      </c>
    </row>
    <row r="3" spans="1:4">
      <c r="A3" t="s">
        <v>100</v>
      </c>
      <c r="B3" s="2">
        <v>0.04</v>
      </c>
      <c r="C3" s="2">
        <v>0.08</v>
      </c>
      <c r="D3" s="2">
        <v>0.12</v>
      </c>
    </row>
    <row r="4" spans="1:4">
      <c r="A4" t="s">
        <v>101</v>
      </c>
      <c r="B4" s="2">
        <v>0.1</v>
      </c>
      <c r="C4" s="2">
        <v>0.14</v>
      </c>
      <c r="D4" s="2">
        <v>0.18</v>
      </c>
    </row>
    <row r="5" spans="1:4">
      <c r="A5" t="s">
        <v>62</v>
      </c>
      <c r="B5" s="2">
        <v>0.12</v>
      </c>
      <c r="C5" s="2">
        <v>0.1</v>
      </c>
      <c r="D5" s="2">
        <v>0.09</v>
      </c>
    </row>
    <row r="7" spans="1:4">
      <c r="A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IS</vt:lpstr>
      <vt:lpstr>BS</vt:lpstr>
      <vt:lpstr>CF</vt:lpstr>
      <vt:lpstr>DCF</vt:lpstr>
      <vt:lpstr>Comps</vt:lpstr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2026-02-11T16:59:05Z</dcterms:created>
  <dcterms:modified xsi:type="dcterms:W3CDTF">2026-02-11T16:59:05Z</dcterms:modified>
</cp:coreProperties>
</file>